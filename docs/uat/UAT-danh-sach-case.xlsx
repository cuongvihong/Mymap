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" sheetId="1" state="visible" r:id="rId3"/>
    <sheet name="Danh sách case" sheetId="2" state="visible" r:id="rId4"/>
    <sheet name="Hướng dẫn" sheetId="3" state="visible" r:id="rId5"/>
  </sheets>
  <definedNames>
    <definedName function="false" hidden="true" localSheetId="1" name="_xlnm._FilterDatabase" vbProcedure="false">'Danh sách case'!$A$1:$M$46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<sst xmlns="http://schemas.openxmlformats.org/spreadsheetml/2006/main" count="478" uniqueCount="254">
  <si>
    <t xml:space="preserve">Tổng hợp case UAT theo tác nhân và loại</t>
  </si>
  <si>
    <t xml:space="preserve">Nguồn: bản đồ MOE Education Account và FAS, e-Service luồng mới (userflow đề xuất 24/10/2026). Các số bên dưới tự tính từ sheet Danh sách case.</t>
  </si>
  <si>
    <t xml:space="preserve">Tác nhân</t>
  </si>
  <si>
    <t xml:space="preserve">Positive</t>
  </si>
  <si>
    <t xml:space="preserve">Negative</t>
  </si>
  <si>
    <t xml:space="preserve">Alternative</t>
  </si>
  <si>
    <t xml:space="preserve">Edge</t>
  </si>
  <si>
    <t xml:space="preserve">Tổng</t>
  </si>
  <si>
    <t xml:space="preserve">MOE HQ</t>
  </si>
  <si>
    <t xml:space="preserve">School user</t>
  </si>
  <si>
    <t xml:space="preserve">Parent</t>
  </si>
  <si>
    <t xml:space="preserve">Kết quả test</t>
  </si>
  <si>
    <t xml:space="preserve">Trạng thái</t>
  </si>
  <si>
    <t xml:space="preserve">Số case</t>
  </si>
  <si>
    <t xml:space="preserve">Tỷ lệ</t>
  </si>
  <si>
    <t xml:space="preserve">Chưa test</t>
  </si>
  <si>
    <t xml:space="preserve">Pass</t>
  </si>
  <si>
    <t xml:space="preserve">Fail</t>
  </si>
  <si>
    <t xml:space="preserve">Blocked</t>
  </si>
  <si>
    <t xml:space="preserve">Ghi chú: nhánh Alternative, Edge và Negative đều gắn với một luồng Positive qua cột Nhánh của. FS07 không có trong thư mục nên chưa có case nào cho R7.</t>
  </si>
  <si>
    <t xml:space="preserve">UAT ID</t>
  </si>
  <si>
    <t xml:space="preserve">Loại</t>
  </si>
  <si>
    <t xml:space="preserve">Nhánh của</t>
  </si>
  <si>
    <t xml:space="preserve">Rẽ nhánh tại</t>
  </si>
  <si>
    <t xml:space="preserve">Tên case</t>
  </si>
  <si>
    <t xml:space="preserve">Các bước</t>
  </si>
  <si>
    <t xml:space="preserve">Kết quả mong đợi</t>
  </si>
  <si>
    <t xml:space="preserve">FS tham chiếu</t>
  </si>
  <si>
    <t xml:space="preserve">Test data</t>
  </si>
  <si>
    <t xml:space="preserve">Người test</t>
  </si>
  <si>
    <t xml:space="preserve">Ghi chú</t>
  </si>
  <si>
    <t xml:space="preserve">UAT-MOE-01</t>
  </si>
  <si>
    <t xml:space="preserve">Chuẩn bị EA, trường, học sinh và phát hành phí</t>
  </si>
  <si>
    <t xml:space="preserve">1. Job đồng bộ hằng ngày: Job đồng bộ tạo EA cho học sinh vừa đủ 7 tuổi
2. Tạo Education Account tự động: EA Active, số dư SGD 0.00
3. HQ mở màn quản lý School: HQ mở màn quản lý School
4. Quản lý trường, lớp, học sinh: Tạo School, School User; trường nhập học sinh và gán lớp
5. Liên kết học sinh với EA: Học sinh Singaporean được liên kết với EA
6. Cấu hình loại phí, component, mức phí: Cấu hình loại phí, component, mức phí
7. Phát hành phí và tìm người nhận: Phát hành phí, tìm học sinh nhận phí
8. Sinh và quản lý Student Charge: Sinh Student Charge POSTED, hiện cho phụ huynh</t>
  </si>
  <si>
    <t xml:space="preserve">Sinh Student Charge POSTED, hiện cho phụ huynh</t>
  </si>
  <si>
    <t xml:space="preserve">FS01.md, FS03.md</t>
  </si>
  <si>
    <t xml:space="preserve">UAT-MOE-01-N1</t>
  </si>
  <si>
    <t xml:space="preserve">Tạo Education Account tự động</t>
  </si>
  <si>
    <t xml:space="preserve">Công dân không đủ điều kiện tạo EA</t>
  </si>
  <si>
    <t xml:space="preserve">1. Tạo Education Account tự động: Không phải công dân, ngoài độ tuổi, thiếu dữ liệu hoặc đã có EA
2. Không tạo EA: Bỏ qua bản ghi, không tạo EA</t>
  </si>
  <si>
    <t xml:space="preserve">Bỏ qua bản ghi, không tạo EA</t>
  </si>
  <si>
    <t xml:space="preserve">FS01.md</t>
  </si>
  <si>
    <t xml:space="preserve">UAT-MOE-01-N2</t>
  </si>
  <si>
    <t xml:space="preserve">Liên kết học sinh với EA</t>
  </si>
  <si>
    <t xml:space="preserve">Học sinh chưa có EA để liên kết</t>
  </si>
  <si>
    <t xml:space="preserve">1. Liên kết học sinh với EA: Học sinh Singaporean nhưng EA chưa có hoặc đã đóng
2. Chưa liên kết được EA: Chưa liên kết, cách xử lý chờ khách hàng chốt</t>
  </si>
  <si>
    <t xml:space="preserve">Chưa liên kết, cách xử lý chờ khách hàng chốt</t>
  </si>
  <si>
    <t xml:space="preserve">FS03.md</t>
  </si>
  <si>
    <t xml:space="preserve">UAT-MOE-02</t>
  </si>
  <si>
    <t xml:space="preserve">Top-up lẻ cho một EA</t>
  </si>
  <si>
    <t xml:space="preserve">1. HQ User mở menu Top-up: HQ User mở tab Individual Top-Up
2. Tìm và xác minh chủ tài khoản: Nhập NRIC đầy đủ, thấy chủ tài khoản, EA Active, số dư
3. Top-up lẻ cho một EA: Nhập 50.00, xem lại, xác nhận
4. Top-up thành công: Số dư tăng đúng 50.00 một lần, có Reference và audit</t>
  </si>
  <si>
    <t xml:space="preserve">Số dư tăng đúng 50.00 một lần, có Reference và audit</t>
  </si>
  <si>
    <t xml:space="preserve">FS02.md</t>
  </si>
  <si>
    <t xml:space="preserve">UAT-MOE-02-N1</t>
  </si>
  <si>
    <t xml:space="preserve">Tìm và xác minh chủ tài khoản</t>
  </si>
  <si>
    <t xml:space="preserve">Không tìm thấy EA</t>
  </si>
  <si>
    <t xml:space="preserve">1. Tìm và xác minh chủ tài khoản: NRIC thiếu ký tự hoặc không có EA
2. Không tìm thấy EA: Báo MSG-0201, không hiện gợi ý nào</t>
  </si>
  <si>
    <t xml:space="preserve">Báo MSG-0201, không hiện gợi ý nào</t>
  </si>
  <si>
    <t xml:space="preserve">UAT-MOE-02-N2</t>
  </si>
  <si>
    <t xml:space="preserve">EA đã Closed</t>
  </si>
  <si>
    <t xml:space="preserve">1. Top-up lẻ cho một EA: Xác nhận top-up cho EA không còn Active
2. Top-up thất bại: Bị từ chối, số dư không đổi, transaction Failed được ghi log</t>
  </si>
  <si>
    <t xml:space="preserve">Bị từ chối, số dư không đổi, transaction Failed được ghi log</t>
  </si>
  <si>
    <t xml:space="preserve">UAT-MOE-02-E1</t>
  </si>
  <si>
    <t xml:space="preserve">Bấm xác nhận hai lần</t>
  </si>
  <si>
    <t xml:space="preserve">1. Top-up lẻ cho một EA: HQ User bấm xác nhận hai lần liên tiếp
2. Top-up thành công: Chỉ một transaction theo Reference ID, ghi có một lần</t>
  </si>
  <si>
    <t xml:space="preserve">Chỉ một transaction theo Reference ID, ghi có một lần</t>
  </si>
  <si>
    <t xml:space="preserve">UAT-MOE-03</t>
  </si>
  <si>
    <t xml:space="preserve">Tạo và chạy Campaign top-up hàng loạt</t>
  </si>
  <si>
    <t xml:space="preserve">1. HQ User mở menu Top-up: HQ User mở tab Bulk Campaigns
2. Cấu hình Campaign: Tạo campaign tuổi 7 đến 12, số dư dưới 100, 100.00 mỗi tài khoản
3. Preview danh sách eligible: Preview thấy số tài khoản và tổng tiền dự kiến
4. Run Campaign: Bấm Run Campaign, batch Pending rồi Running
5. Thực thi batch và theo dõi: Ghi có từng EA, đánh giá lại criterion lúc xử lý
6. Batch Completed: Cả batch Successful, Batches Run tăng 1</t>
  </si>
  <si>
    <t xml:space="preserve">Cả batch Successful, Batches Run tăng 1</t>
  </si>
  <si>
    <t xml:space="preserve">UAT-MOE-03-N1</t>
  </si>
  <si>
    <t xml:space="preserve">Run Campaign</t>
  </si>
  <si>
    <t xml:space="preserve">Không có tài khoản eligible</t>
  </si>
  <si>
    <t xml:space="preserve">1. Run Campaign: Không EA nào thỏa criterion lúc bấm Run Campaign
2. Không có tài khoản eligible: Báo MSG-0214, không tạo batch</t>
  </si>
  <si>
    <t xml:space="preserve">Báo MSG-0214, không tạo batch</t>
  </si>
  <si>
    <t xml:space="preserve">UAT-MOE-03-A1</t>
  </si>
  <si>
    <t xml:space="preserve">Thực thi batch và theo dõi</t>
  </si>
  <si>
    <t xml:space="preserve">Một số EA bị Failed trong batch</t>
  </si>
  <si>
    <t xml:space="preserve">1. Thực thi batch và theo dõi: Một EA bị đóng hoặc không còn thỏa criterion lúc xử lý
2. Batch Failed: EA đó Failed, số dư không đổi, các EA khác vẫn được ghi có</t>
  </si>
  <si>
    <t xml:space="preserve">EA đó Failed, số dư không đổi, các EA khác vẫn được ghi có</t>
  </si>
  <si>
    <t xml:space="preserve">UAT-MOE-03-E1</t>
  </si>
  <si>
    <t xml:space="preserve">Server khởi động lại giữa batch</t>
  </si>
  <si>
    <t xml:space="preserve">1. Thực thi batch và theo dõi: Server restart khi batch đang Running
2. Batch Completed: Batch tiếp tục từ item chưa xử lý, không ghi có trùng</t>
  </si>
  <si>
    <t xml:space="preserve">Batch tiếp tục từ item chưa xử lý, không ghi có trùng</t>
  </si>
  <si>
    <t xml:space="preserve">UAT-MOE-04</t>
  </si>
  <si>
    <t xml:space="preserve">Thiết lập ngân sách MOEFAS</t>
  </si>
  <si>
    <t xml:space="preserve">1. User mở Budget và Statistics: MOE HQ mở Manage Budget
2. Thiết lập và xem ngân sách: Nhập Budget Amount, bấm Save
3. Ngân sách đã lưu: Hiện Budget Amount đã lưu</t>
  </si>
  <si>
    <t xml:space="preserve">Hiện Budget Amount đã lưu</t>
  </si>
  <si>
    <t xml:space="preserve">FS06.md</t>
  </si>
  <si>
    <t xml:space="preserve">UAT-MOE-05</t>
  </si>
  <si>
    <t xml:space="preserve">Theo dõi thống kê và sử dụng ngân sách MOEFAS</t>
  </si>
  <si>
    <t xml:space="preserve">1. User mở Budget và Statistics: MOE HQ mở Budget Tracking
2. Thống kê subsidy đã granted: Lấy tổng subsidy đã granted trong phạm vi MOEFAS
3. Theo dõi sử dụng ngân sách: Hiện Budget Amount, Subsidy Amount Used, Remaining Budget</t>
  </si>
  <si>
    <t xml:space="preserve">Hiện Budget Amount, Subsidy Amount Used, Remaining Budget</t>
  </si>
  <si>
    <t xml:space="preserve">UAT-MOE-05-E1</t>
  </si>
  <si>
    <t xml:space="preserve">Theo dõi sử dụng ngân sách</t>
  </si>
  <si>
    <t xml:space="preserve">Budget hết nhưng vẫn grant</t>
  </si>
  <si>
    <t xml:space="preserve">1. Theo dõi sử dụng ngân sách: Subsidy Amount Used chạm hoặc vượt Budget Amount
2. Cảnh báo hết budget, vẫn grant: Hiện cảnh báo, không chặn grant</t>
  </si>
  <si>
    <t xml:space="preserve">Hiện cảnh báo, không chặn grant</t>
  </si>
  <si>
    <t xml:space="preserve">UAT-MOE-06</t>
  </si>
  <si>
    <t xml:space="preserve">Tạo scheme MOEFAS và xem đơn FAS</t>
  </si>
  <si>
    <t xml:space="preserve">1. Admin mở Financial assistance: MOE HQ mở MOEFAS schemes
2. Quản lý scheme FAS: Wizard General, Eligibility, Subsidy theo cấp rồi Publish
3. Danh sách đơn FAS: Xem đơn FAS của mọi trường, chỉ xem, không Approve hay Reject</t>
  </si>
  <si>
    <t xml:space="preserve">Xem đơn FAS của mọi trường, chỉ xem, không Approve hay Reject</t>
  </si>
  <si>
    <t xml:space="preserve">FS04.md</t>
  </si>
  <si>
    <t xml:space="preserve">UAT-MOE-06-N1</t>
  </si>
  <si>
    <t xml:space="preserve">Quản lý scheme FAS</t>
  </si>
  <si>
    <t xml:space="preserve">Scheme không hợp lệ</t>
  </si>
  <si>
    <t xml:space="preserve">1. Quản lý scheme FAS: Effective from bằng hoặc trước Form closes, hoặc kỳ chồng scheme khác
2. Scheme không hợp lệ, không publish được: Báo lỗi, không publish được</t>
  </si>
  <si>
    <t xml:space="preserve">Báo lỗi, không publish được</t>
  </si>
  <si>
    <t xml:space="preserve">UAT-SCH-01</t>
  </si>
  <si>
    <t xml:space="preserve">Nhập đơn giấy của phụ huynh</t>
  </si>
  <si>
    <t xml:space="preserve">1. School user mở Upload applications: School user mở Upload applications
2. Upload scans và đọc bản scan: Tải bản scan, hệ thống đọc mẫu đơn
3. Review application, Part 1 đến 5: Nhập NRIC, thông tin tự điền, thu nhập từ dữ liệu Chính phủ
4. Kiểm tra hợp lệ trước khi nộp: Review and submit, form đang mở, dữ liệu hợp lệ
5. Review before submitting và nộp: Confirm and submit, mỗi con một đơn
6. Phân luồng đơn lúc nộp: Phân luồng theo F4
7. Đơn MOEFAS chờ form đóng: MOEFAS Pending chờ form đóng</t>
  </si>
  <si>
    <t xml:space="preserve">MOEFAS Pending chờ form đóng</t>
  </si>
  <si>
    <t xml:space="preserve">FS05.md, FS04.md</t>
  </si>
  <si>
    <t xml:space="preserve">UAT-SCH-01-N1</t>
  </si>
  <si>
    <t xml:space="preserve">Kiểm tra hợp lệ trước khi nộp</t>
  </si>
  <si>
    <t xml:space="preserve">Bị chặn khi nộp đơn giấy</t>
  </si>
  <si>
    <t xml:space="preserve">1. Kiểm tra hợp lệ trước khi nộp: Thiếu trường, con ngoài 7 đến 16 tuổi, đã có đơn, trùng NRIC, hoặc form đã đóng
2. Bị chặn khi nộp: Ghi chú đỏ liệt kê điều cần sửa, không tạo đơn</t>
  </si>
  <si>
    <t xml:space="preserve">Ghi chú đỏ liệt kê điều cần sửa, không tạo đơn</t>
  </si>
  <si>
    <t xml:space="preserve">FS05.md</t>
  </si>
  <si>
    <t xml:space="preserve">UAT-SCH-01-E1</t>
  </si>
  <si>
    <t xml:space="preserve">Review application, Part 1 đến 5</t>
  </si>
  <si>
    <t xml:space="preserve">Lưu nháp khi nhập dở</t>
  </si>
  <si>
    <t xml:space="preserve">1. Review application, Part 1 đến 5: Bấm Save draft
2. Bản nháp đã lưu: Dòng Draft hiện trong danh sách, Continue hoặc Delete</t>
  </si>
  <si>
    <t xml:space="preserve">Dòng Draft hiện trong danh sách, Continue hoặc Delete</t>
  </si>
  <si>
    <t xml:space="preserve">FS05.md, FS10.md</t>
  </si>
  <si>
    <t xml:space="preserve">UAT-SCH-02</t>
  </si>
  <si>
    <t xml:space="preserve">Tạo scheme SBFAS và thêm fee</t>
  </si>
  <si>
    <t xml:space="preserve">1. Admin mở Financial assistance: School Admin mở SBFAS schemes
2. Quản lý scheme FAS: Wizard General, Eligibility, Subsidy rồi Publish Tier 1
3. Add fee vào scheme đã publish: Thêm fee component phát sinh cuối năm vào scheme Active
4. Áp trợ cấp sau quyết định: Áp trợ cấp cho phí đang mở của học sinh đã được cấp</t>
  </si>
  <si>
    <t xml:space="preserve">Áp trợ cấp cho phí đang mở của học sinh đã được cấp</t>
  </si>
  <si>
    <t xml:space="preserve">UAT-SCH-02-N1</t>
  </si>
  <si>
    <t xml:space="preserve">Scheme SBFAS không hợp lệ</t>
  </si>
  <si>
    <t xml:space="preserve">1. Quản lý scheme FAS: Effective from không sau Form closes, hoặc kỳ chồng với Tier cùng tên
2. Scheme không hợp lệ, không publish được: Báo lỗi, không publish được</t>
  </si>
  <si>
    <t xml:space="preserve">UAT-SCH-03</t>
  </si>
  <si>
    <t xml:space="preserve">Duyệt đơn SBFAS</t>
  </si>
  <si>
    <t xml:space="preserve">1. Admin mở Financial assistance: School Admin mở FAS applications, tab Pending
2. Danh sách đơn FAS: Mở đơn SBFAS của học sinh trong trường
3. Trường duyệt hoặc từ chối SBFAS: Chọn tier ML gợi ý, bấm Approve
4. Áp trợ cấp sau quyết định: Áp trợ cấp theo khối của học sinh
5. Đơn Approved: Approved kèm tier, Effective from của scheme</t>
  </si>
  <si>
    <t xml:space="preserve">Approved kèm tier, Effective from của scheme</t>
  </si>
  <si>
    <t xml:space="preserve">UAT-SCH-03-N1</t>
  </si>
  <si>
    <t xml:space="preserve">Trường duyệt hoặc từ chối SBFAS</t>
  </si>
  <si>
    <t xml:space="preserve">Từ chối đơn SBFAS</t>
  </si>
  <si>
    <t xml:space="preserve">1. Trường duyệt hoặc từ chối SBFAS: Chọn Reject, điền Reason và Comment
2. Đơn Rejected: Rejected, phụ huynh nhận email lý do</t>
  </si>
  <si>
    <t xml:space="preserve">Rejected, phụ huynh nhận email lý do</t>
  </si>
  <si>
    <t xml:space="preserve">UAT-SCH-04</t>
  </si>
  <si>
    <t xml:space="preserve">Thiết lập và theo dõi ngân sách SBFAS</t>
  </si>
  <si>
    <t xml:space="preserve">1. User mở Budget và Statistics: School user mở Manage Budget
2. Thiết lập và xem ngân sách: Nhập Budget Amount SBFAS của trường, Save
3. Theo dõi sử dụng ngân sách: Theo dõi Subsidy Amount Used và Remaining Budget của trường</t>
  </si>
  <si>
    <t xml:space="preserve">Theo dõi Subsidy Amount Used và Remaining Budget của trường</t>
  </si>
  <si>
    <t xml:space="preserve">UAT-SCH-04-E1</t>
  </si>
  <si>
    <t xml:space="preserve">Budget SBFAS hết nhưng vẫn grant</t>
  </si>
  <si>
    <t xml:space="preserve">UAT-PAR-01</t>
  </si>
  <si>
    <t xml:space="preserve">Đăng nhập, xem EA và trả phí bằng EA</t>
  </si>
  <si>
    <t xml:space="preserve">1. Parent mở e-Service: Parent mở e-Service
2. Đăng nhập SingPass: Đăng nhập SingPass, API tìm thấy Parent và con
3. Home và xem EA của con: Home hiện thẻ Edu Account của con, số dư EA
4. Edu Account Detail, điểm bắt đầu của từng con: Chọn thẻ con, mở Edu Account Detail
5. Xem invoice chưa trả: Chọn Trả phí, thấy invoice Issued của đúng con
6. Chọn cách thanh toán: Số dư đủ, Parent chọn trả bằng EA
7. Trả bằng EA: Closure check qua, sổ cái trừ EA đúng một lần
8. Kết quả, biên lai, hoàn EA: Mọi nhánh Succeeded
9. Invoice đã thanh toán: Invoice Paid, có mã tham chiếu và biên lai</t>
  </si>
  <si>
    <t xml:space="preserve">Invoice Paid, có mã tham chiếu và biên lai</t>
  </si>
  <si>
    <t xml:space="preserve">FS08.md, FS09.md</t>
  </si>
  <si>
    <t xml:space="preserve">UAT-PAR-01-N1</t>
  </si>
  <si>
    <t xml:space="preserve">Đăng nhập SingPass</t>
  </si>
  <si>
    <t xml:space="preserve">SingPass lỗi hoặc Parent hủy</t>
  </si>
  <si>
    <t xml:space="preserve">1. Đăng nhập SingPass: SingPass báo lỗi hoặc Parent bấm hủy
2. Đăng nhập không xong: Báo MSG-0802, quay lại trang đăng nhập</t>
  </si>
  <si>
    <t xml:space="preserve">Báo MSG-0802, quay lại trang đăng nhập</t>
  </si>
  <si>
    <t xml:space="preserve">FS08.md</t>
  </si>
  <si>
    <t xml:space="preserve">UAT-PAR-01-N2</t>
  </si>
  <si>
    <t xml:space="preserve">Không tìm thấy Parent hoặc API chậm</t>
  </si>
  <si>
    <t xml:space="preserve">1. Đăng nhập SingPass: API không thấy Parent, Parent không có con, hoặc quá 10 giây
2. Không vào được hệ thống: Báo MSG-0801 hoặc MSG-0809, không vào được</t>
  </si>
  <si>
    <t xml:space="preserve">Báo MSG-0801 hoặc MSG-0809, không vào được</t>
  </si>
  <si>
    <t xml:space="preserve">UAT-PAR-01-E1</t>
  </si>
  <si>
    <t xml:space="preserve">Home và xem EA của con</t>
  </si>
  <si>
    <t xml:space="preserve">Con vừa đủ 16 tuổi</t>
  </si>
  <si>
    <t xml:space="preserve">1. Home và xem EA của con: Parent mở EA của con vừa đủ 16 tuổi
2. Kiểm tra và đóng EA: Closure check: đủ 16 tuổi, EA ở trạng thái Due for closure
3. Con đủ 16 tuổi: Chỉ xem, không thanh toán, không nộp FAS</t>
  </si>
  <si>
    <t xml:space="preserve">Chỉ xem, không thanh toán, không nộp FAS</t>
  </si>
  <si>
    <t xml:space="preserve">FS08.md, FS01.md</t>
  </si>
  <si>
    <t xml:space="preserve">UAT-PAR-01-N3</t>
  </si>
  <si>
    <t xml:space="preserve">Chọn cách thanh toán</t>
  </si>
  <si>
    <t xml:space="preserve">Không đủ số dư cho lựa chọn chỉ EA</t>
  </si>
  <si>
    <t xml:space="preserve">1. Chọn cách thanh toán: Số dư EA nhỏ hơn số phải trả
2. Không đủ số dư: Hiện lý do, gợi ý trả online hoặc chia đôi</t>
  </si>
  <si>
    <t xml:space="preserve">Hiện lý do, gợi ý trả online hoặc chia đôi</t>
  </si>
  <si>
    <t xml:space="preserve">FS09.md</t>
  </si>
  <si>
    <t xml:space="preserve">UAT-PAR-01-A1</t>
  </si>
  <si>
    <t xml:space="preserve">Chia đôi EA và online</t>
  </si>
  <si>
    <t xml:space="preserve">1. Chọn cách thanh toán: Số dư 20.00, invoice 50.00: chọn chia đôi
2. Trả bằng EA: Trừ trước phần EA 20.00
3. Trả online và nhận kết quả: Mở phiên online cho 30.00, webhook báo thành công
4. Kết quả, biên lai, hoàn EA: Cả hai nhánh Succeeded
5. Invoice đã thanh toán: Invoice Paid, biên lai ghi cả hai phần</t>
  </si>
  <si>
    <t xml:space="preserve">Invoice Paid, biên lai ghi cả hai phần</t>
  </si>
  <si>
    <t xml:space="preserve">UAT-PAR-01-N4</t>
  </si>
  <si>
    <t xml:space="preserve">Trả online và nhận kết quả</t>
  </si>
  <si>
    <t xml:space="preserve">Phần online thất bại</t>
  </si>
  <si>
    <t xml:space="preserve">1. Trả online và nhận kết quả: Online thất bại, bị hủy hoặc hết hạn
2. Kết quả, biên lai, hoàn EA: Gọi Function 1 hoàn phần EA, nhánh EA Reversed
3. Invoice về Issued: Invoice về Issued, cho thử lại</t>
  </si>
  <si>
    <t xml:space="preserve">Invoice về Issued, cho thử lại</t>
  </si>
  <si>
    <t xml:space="preserve">UAT-PAR-01-E2</t>
  </si>
  <si>
    <t xml:space="preserve">Kết quả, biên lai, hoàn EA</t>
  </si>
  <si>
    <t xml:space="preserve">Hoàn EA bị lỗi</t>
  </si>
  <si>
    <t xml:space="preserve">1. Kết quả, biên lai, hoàn EA: Lệnh hoàn EA thất bại
2. Chờ vận hành xử lý: ReconciliationRequired, cảnh báo vận hành</t>
  </si>
  <si>
    <t xml:space="preserve">ReconciliationRequired, cảnh báo vận hành</t>
  </si>
  <si>
    <t xml:space="preserve">UAT-PAR-03</t>
  </si>
  <si>
    <t xml:space="preserve">Xem hoạt động EA của một con</t>
  </si>
  <si>
    <t xml:space="preserve">1. Parent mở e-Service: Parent mở e-Service
2. Đăng nhập SingPass: Đăng nhập SingPass
3. Home và xem EA của con: Home hiện thẻ Edu Account của các con
4. Edu Account Detail, điểm bắt đầu của từng con: Chọn thẻ con, mở Edu Account Detail
5. Hoạt động số dư EA của một con: Xem ghi có, ghi nợ ví của con này</t>
  </si>
  <si>
    <t xml:space="preserve">Xem ghi có, ghi nợ ví của con này</t>
  </si>
  <si>
    <t xml:space="preserve">UAT-PAR-03-A1</t>
  </si>
  <si>
    <t xml:space="preserve">Xem gộp hoạt động EA của các con</t>
  </si>
  <si>
    <t xml:space="preserve">1. Home và xem EA của con: Bấm Hoạt động EA gần đây của các con
2. Hoạt động EA gần đây của các con: Mỗi dòng có tên con và mã EA
3. Edu Account Detail, điểm bắt đầu của từng con: Chọn tên con, sang Edu Account Detail của con đó</t>
  </si>
  <si>
    <t xml:space="preserve">Chọn tên con, sang Edu Account Detail của con đó</t>
  </si>
  <si>
    <t xml:space="preserve">UAT-PAR-03-E1</t>
  </si>
  <si>
    <t xml:space="preserve">Edu Account Detail, điểm bắt đầu của từng con</t>
  </si>
  <si>
    <t xml:space="preserve">Hóa đơn và thanh toán (tương lai)</t>
  </si>
  <si>
    <t xml:space="preserve">1. Edu Account Detail, điểm bắt đầu của từng con: Nhánh nét đứt, chưa hiện menu
2. Hóa đơn và thanh toán (tương lai): Mỗi invoice một dòng, mở ra thấy EA 60 + Online 40 trong cùng payment</t>
  </si>
  <si>
    <t xml:space="preserve">Mỗi invoice một dòng, mở ra thấy EA 60 + Online 40 trong cùng payment</t>
  </si>
  <si>
    <t xml:space="preserve">UAT-PAR-02</t>
  </si>
  <si>
    <t xml:space="preserve">Nộp đơn FAS online, MOEFAS tự duyệt sau khi form đóng</t>
  </si>
  <si>
    <t xml:space="preserve">1. Parent mở e-Service: Parent mở e-Service
2. Đăng nhập SingPass: Đăng nhập SingPass
3. Home và xem EA của con: Home hiện card của con
4. Trang Financial assistance và bản nháp: Mở Financial assistance, bấm Apply for FAS
5. Bước 1 Children: Chọn quan hệ và con, thông tin phụ huynh tự điền
6. Bước 2 Household và thu nhập: Thu nhập tự lấy từ dữ liệu Chính phủ, hiện GHI và PCI
7. Bước 3 Documents và bước 4 Context: Bỏ qua tài liệu, nhập context
8. Bước 5 Review và Submit: Tick xác nhận, Submit application
9. Phân luồng đơn lúc nộp: MOEFAS Pending, System check Waiting
10. Form MOEFAS đóng: Form MOEFAS đóng
11. Xếp hạng và duyệt MOEFAS tự động: Xếp hạng theo PCI thấp nhất, đơn đạt điều kiện
12. Áp trợ cấp sau quyết định: Áp trợ cấp theo cấp của học sinh
13. Đơn Approved: Approved MOEFAS, phụ huynh nhận email</t>
  </si>
  <si>
    <t xml:space="preserve">Approved MOEFAS, phụ huynh nhận email</t>
  </si>
  <si>
    <t xml:space="preserve">FS08.md, FS10.md, FS04.md</t>
  </si>
  <si>
    <t xml:space="preserve">UAT-PAR-02-N1</t>
  </si>
  <si>
    <t xml:space="preserve">Bước 1 Children</t>
  </si>
  <si>
    <t xml:space="preserve">Con bị khoá khi chọn</t>
  </si>
  <si>
    <t xml:space="preserve">1. Bước 1 Children: Con đã 16 tuổi, đã có đơn đang xét, hoặc form đã đóng
2. Con bị khoá hoặc không nộp được: Con bị khoá, Continue không bật</t>
  </si>
  <si>
    <t xml:space="preserve">Con bị khoá, Continue không bật</t>
  </si>
  <si>
    <t xml:space="preserve">FS10.md</t>
  </si>
  <si>
    <t xml:space="preserve">UAT-PAR-02-N2</t>
  </si>
  <si>
    <t xml:space="preserve">Trang Financial assistance và bản nháp</t>
  </si>
  <si>
    <t xml:space="preserve">Không có form FAS nào đang mở</t>
  </si>
  <si>
    <t xml:space="preserve">1. Trang Financial assistance và bản nháp: Mọi con từ 16 tuổi, đã có đơn Pending, hoặc không có form đang mở
2. Con bị khoá hoặc không nộp được: Apply for FAS bị khoá, hiện ngày form kế tiếp</t>
  </si>
  <si>
    <t xml:space="preserve">Apply for FAS bị khoá, hiện ngày form kế tiếp</t>
  </si>
  <si>
    <t xml:space="preserve">UAT-PAR-02-E1</t>
  </si>
  <si>
    <t xml:space="preserve">Bước 2 Household và thu nhập</t>
  </si>
  <si>
    <t xml:space="preserve">Lưu nháp và quay lại sau</t>
  </si>
  <si>
    <t xml:space="preserve">1. Bước 2 Household và thu nhập: Phụ huynh bấm Save draft and exit ở bước 2
2. Bản nháp đã lưu: Thẻ Draft hiện bước đã lưu, Resume mở lại đúng bước</t>
  </si>
  <si>
    <t xml:space="preserve">Thẻ Draft hiện bước đã lưu, Resume mở lại đúng bước</t>
  </si>
  <si>
    <t xml:space="preserve">UAT-PAR-02-E2</t>
  </si>
  <si>
    <t xml:space="preserve">Bước 5 Review và Submit</t>
  </si>
  <si>
    <t xml:space="preserve">Nộp đơn cho hai con</t>
  </si>
  <si>
    <t xml:space="preserve">1. Bước 5 Review và Submit: Chọn hai con rồi Submit application
2. Đơn gia đình đã nộp: Hai đơn chung một mã gia đình, toast Applications submitted</t>
  </si>
  <si>
    <t xml:space="preserve">Hai đơn chung một mã gia đình, toast Applications submitted</t>
  </si>
  <si>
    <t xml:space="preserve">UAT-PAR-02-A1</t>
  </si>
  <si>
    <t xml:space="preserve">Xếp hạng và duyệt MOEFAS tự động</t>
  </si>
  <si>
    <t xml:space="preserve">Không đạt MOEFAS, chuyển SBFAS của trường</t>
  </si>
  <si>
    <t xml:space="preserve">1. Xếp hạng và duyệt MOEFAS tự động: Vượt giới hạn MOEFAS, phụ huynh đã chọn cũng xét SBFAS
2. Trường duyệt hoặc từ chối SBFAS: Thành SBFAS Pending, School Admin chọn tier và Approve
3. Đơn Approved: Approved SBFAS kèm tier, phụ huynh nhận email</t>
  </si>
  <si>
    <t xml:space="preserve">Approved SBFAS kèm tier, phụ huynh nhận email</t>
  </si>
  <si>
    <t xml:space="preserve">UAT-PAR-02-N3</t>
  </si>
  <si>
    <t xml:space="preserve">Không đạt MOEFAS và không xét SBFAS</t>
  </si>
  <si>
    <t xml:space="preserve">1. Xếp hạng và duyệt MOEFAS tự động: Vượt giới hạn, Also consider SBFAS là No
2. Đơn Rejected: Rejected, lý do Not eligible for MOEFAS, email cho phụ huynh</t>
  </si>
  <si>
    <t xml:space="preserve">Rejected, lý do Not eligible for MOEFAS, email cho phụ huynh</t>
  </si>
  <si>
    <t xml:space="preserve">UAT-PAR-02-A2</t>
  </si>
  <si>
    <t xml:space="preserve">Phân luồng đơn lúc nộp</t>
  </si>
  <si>
    <t xml:space="preserve">Học sinh PR hoặc International nộp đơn</t>
  </si>
  <si>
    <t xml:space="preserve">1. Phân luồng đơn lúc nộp: Quốc tịch không nằm trong scheme MOEFAS
2. Trường duyệt hoặc từ chối SBFAS: Thành SBFAS Pending ngay, trường xét đơn
3. Đơn Approved: Trường Approve kèm tier</t>
  </si>
  <si>
    <t xml:space="preserve">Trường Approve kèm tier</t>
  </si>
  <si>
    <t xml:space="preserve">UAT-PAR-02-N4</t>
  </si>
  <si>
    <t xml:space="preserve">Trường từ chối SBFAS</t>
  </si>
  <si>
    <t xml:space="preserve">1. Trường duyệt hoặc từ chối SBFAS: School Admin chọn Reject, điền Reason và Comment
2. Đơn Rejected: Rejected, phụ huynh nhận email lý do</t>
  </si>
  <si>
    <t xml:space="preserve">Cách dùng file</t>
  </si>
  <si>
    <t xml:space="preserve">Ô vàng</t>
  </si>
  <si>
    <t xml:space="preserve">Là ô cần điền: Test data, Người test, Trạng thái, Ghi chú. Các cột còn lại lấy từ bản đồ nên không sửa tay.</t>
  </si>
  <si>
    <t xml:space="preserve">Cùng mã với tên kịch bản trong MapApp. Khi client xem bản đồ, tra mã này sang đây để thấy bước và test data.</t>
  </si>
  <si>
    <t xml:space="preserve">Mỗi dòng là một khối trên bản đồ kèm ghi chú ngắn. Case nhánh chỉ có các bước từ chỗ rẽ nhánh, bước trước đó nằm ở case cha (cột Nhánh của).</t>
  </si>
  <si>
    <t xml:space="preserve">Lấy từ ghi chú của bước cuối. Cần đối chiếu thêm với AC trong FS khi viết case chi tiết.</t>
  </si>
  <si>
    <t xml:space="preserve">Để trống, điền theo từng user test. Nên ghi theo dạng: tài khoản, NRIC hoặc mã EA, số dư, trạng thái ban đầu.</t>
  </si>
  <si>
    <t xml:space="preserve">Dòng ví dụ định dạng test data (chỉ để minh họa, không phải dữ liệu thật)</t>
  </si>
  <si>
    <t xml:space="preserve">Parent: NRIC S0000000A, con A: EA-001, số dư SGD 100, invoice Issued SGD 50</t>
  </si>
  <si>
    <t xml:space="preserve">Tên người test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</si>
</sst>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3142"/>
        <bgColor rgb="FF33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D314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31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COUNTIFS('Danh sách case'!$B$2:$B$46,$A5,'Danh sách case'!$C$2:$C$46,B$4)</f>
        <v>6</v>
      </c>
      <c r="C5" s="5" t="n">
        <f aca="false">COUNTIFS('Danh sách case'!$B$2:$B$46,$A5,'Danh sách case'!$C$2:$C$46,C$4)</f>
        <v>6</v>
      </c>
      <c r="D5" s="5" t="n">
        <f aca="false">COUNTIFS('Danh sách case'!$B$2:$B$46,$A5,'Danh sách case'!$C$2:$C$46,D$4)</f>
        <v>1</v>
      </c>
      <c r="E5" s="5" t="n">
        <f aca="false">COUNTIFS('Danh sách case'!$B$2:$B$46,$A5,'Danh sách case'!$C$2:$C$46,E$4)</f>
        <v>3</v>
      </c>
      <c r="F5" s="5" t="n">
        <f aca="false">SUM(B5:E5)</f>
        <v>16</v>
      </c>
    </row>
    <row r="6" customFormat="false" ht="15" hidden="false" customHeight="false" outlineLevel="0" collapsed="false">
      <c r="A6" s="4" t="s">
        <v>9</v>
      </c>
      <c r="B6" s="5" t="n">
        <f aca="false">COUNTIFS('Danh sách case'!$B$2:$B$46,$A6,'Danh sách case'!$C$2:$C$46,B$4)</f>
        <v>4</v>
      </c>
      <c r="C6" s="5" t="n">
        <f aca="false">COUNTIFS('Danh sách case'!$B$2:$B$46,$A6,'Danh sách case'!$C$2:$C$46,C$4)</f>
        <v>3</v>
      </c>
      <c r="D6" s="5" t="n">
        <f aca="false">COUNTIFS('Danh sách case'!$B$2:$B$46,$A6,'Danh sách case'!$C$2:$C$46,D$4)</f>
        <v>0</v>
      </c>
      <c r="E6" s="5" t="n">
        <f aca="false">COUNTIFS('Danh sách case'!$B$2:$B$46,$A6,'Danh sách case'!$C$2:$C$46,E$4)</f>
        <v>2</v>
      </c>
      <c r="F6" s="5" t="n">
        <f aca="false">SUM(B6:E6)</f>
        <v>9</v>
      </c>
    </row>
    <row r="7" customFormat="false" ht="15" hidden="false" customHeight="false" outlineLevel="0" collapsed="false">
      <c r="A7" s="4" t="s">
        <v>10</v>
      </c>
      <c r="B7" s="5" t="n">
        <f aca="false">COUNTIFS('Danh sách case'!$B$2:$B$46,$A7,'Danh sách case'!$C$2:$C$46,B$4)</f>
        <v>3</v>
      </c>
      <c r="C7" s="5" t="n">
        <f aca="false">COUNTIFS('Danh sách case'!$B$2:$B$46,$A7,'Danh sách case'!$C$2:$C$46,C$4)</f>
        <v>8</v>
      </c>
      <c r="D7" s="5" t="n">
        <f aca="false">COUNTIFS('Danh sách case'!$B$2:$B$46,$A7,'Danh sách case'!$C$2:$C$46,D$4)</f>
        <v>4</v>
      </c>
      <c r="E7" s="5" t="n">
        <f aca="false">COUNTIFS('Danh sách case'!$B$2:$B$46,$A7,'Danh sách case'!$C$2:$C$46,E$4)</f>
        <v>5</v>
      </c>
      <c r="F7" s="5" t="n">
        <f aca="false">SUM(B7:E7)</f>
        <v>20</v>
      </c>
    </row>
    <row r="8" customFormat="false" ht="15" hidden="false" customHeight="false" outlineLevel="0" collapsed="false">
      <c r="A8" s="6" t="s">
        <v>7</v>
      </c>
      <c r="B8" s="7" t="n">
        <f aca="false">SUM(B5:B7)</f>
        <v>13</v>
      </c>
      <c r="C8" s="7" t="n">
        <f aca="false">SUM(C5:C7)</f>
        <v>17</v>
      </c>
      <c r="D8" s="7" t="n">
        <f aca="false">SUM(D5:D7)</f>
        <v>5</v>
      </c>
      <c r="E8" s="7" t="n">
        <f aca="false">SUM(E5:E7)</f>
        <v>10</v>
      </c>
      <c r="F8" s="7" t="n">
        <f aca="false">SUM(F5:F7)</f>
        <v>45</v>
      </c>
    </row>
    <row r="10" customFormat="false" ht="15" hidden="false" customHeight="false" outlineLevel="0" collapsed="false">
      <c r="A10" s="8" t="s">
        <v>11</v>
      </c>
    </row>
    <row r="11" customFormat="false" ht="15" hidden="false" customHeight="false" outlineLevel="0" collapsed="false">
      <c r="A11" s="9" t="s">
        <v>12</v>
      </c>
      <c r="B11" s="9" t="s">
        <v>13</v>
      </c>
      <c r="C11" s="9" t="s">
        <v>14</v>
      </c>
    </row>
    <row r="12" customFormat="false" ht="15" hidden="false" customHeight="false" outlineLevel="0" collapsed="false">
      <c r="A12" s="4" t="s">
        <v>15</v>
      </c>
      <c r="B12" s="4" t="n">
        <f aca="false">COUNTIF('Danh sách case'!$L$2:$L$46,A12)</f>
        <v>45</v>
      </c>
      <c r="C12" s="10" t="n">
        <f aca="false">IF($F$8=0,0,B12/$F$8)</f>
        <v>1</v>
      </c>
    </row>
    <row r="13" customFormat="false" ht="15" hidden="false" customHeight="false" outlineLevel="0" collapsed="false">
      <c r="A13" s="4" t="s">
        <v>16</v>
      </c>
      <c r="B13" s="4" t="n">
        <f aca="false">COUNTIF('Danh sách case'!$L$2:$L$46,A13)</f>
        <v>0</v>
      </c>
      <c r="C13" s="10" t="n">
        <f aca="false">IF($F$8=0,0,B13/$F$8)</f>
        <v>0</v>
      </c>
    </row>
    <row r="14" customFormat="false" ht="15" hidden="false" customHeight="false" outlineLevel="0" collapsed="false">
      <c r="A14" s="4" t="s">
        <v>17</v>
      </c>
      <c r="B14" s="4" t="n">
        <f aca="false">COUNTIF('Danh sách case'!$L$2:$L$46,A14)</f>
        <v>0</v>
      </c>
      <c r="C14" s="10" t="n">
        <f aca="false">IF($F$8=0,0,B14/$F$8)</f>
        <v>0</v>
      </c>
    </row>
    <row r="15" customFormat="false" ht="15" hidden="false" customHeight="false" outlineLevel="0" collapsed="false">
      <c r="A15" s="4" t="s">
        <v>18</v>
      </c>
      <c r="B15" s="4" t="n">
        <f aca="false">COUNTIF('Danh sách case'!$L$2:$L$46,A15)</f>
        <v>0</v>
      </c>
      <c r="C15" s="10" t="n">
        <f aca="false">IF($F$8=0,0,B15/$F$8)</f>
        <v>0</v>
      </c>
    </row>
    <row r="17" customFormat="false" ht="15" hidden="false" customHeight="false" outlineLevel="0" collapsed="false">
      <c r="A17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3"/>
    <col collapsed="false" customWidth="true" hidden="false" outlineLevel="0" max="4" min="4" style="0" width="17"/>
    <col collapsed="false" customWidth="true" hidden="false" outlineLevel="0" max="5" min="5" style="0" width="28"/>
    <col collapsed="false" customWidth="true" hidden="false" outlineLevel="0" max="6" min="6" style="0" width="42"/>
    <col collapsed="false" customWidth="true" hidden="false" outlineLevel="0" max="7" min="7" style="0" width="70"/>
    <col collapsed="false" customWidth="true" hidden="false" outlineLevel="0" max="8" min="8" style="0" width="44"/>
    <col collapsed="false" customWidth="true" hidden="false" outlineLevel="0" max="9" min="9" style="0" width="16"/>
    <col collapsed="false" customWidth="true" hidden="false" outlineLevel="0" max="10" min="10" style="0" width="34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28"/>
  </cols>
  <sheetData>
    <row r="1" customFormat="false" ht="25.5" hidden="false" customHeight="true" outlineLevel="0" collapsed="false">
      <c r="A1" s="11" t="s">
        <v>20</v>
      </c>
      <c r="B1" s="11" t="s">
        <v>2</v>
      </c>
      <c r="C1" s="11" t="s">
        <v>21</v>
      </c>
      <c r="D1" s="11" t="s">
        <v>22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12</v>
      </c>
      <c r="M1" s="11" t="s">
        <v>30</v>
      </c>
    </row>
    <row r="2" customFormat="false" ht="129.75" hidden="false" customHeight="true" outlineLevel="0" collapsed="false">
      <c r="A2" s="12" t="s">
        <v>31</v>
      </c>
      <c r="B2" s="12" t="s">
        <v>8</v>
      </c>
      <c r="C2" s="12" t="s">
        <v>3</v>
      </c>
      <c r="D2" s="12"/>
      <c r="E2" s="12"/>
      <c r="F2" s="12" t="s">
        <v>32</v>
      </c>
      <c r="G2" s="12" t="s">
        <v>33</v>
      </c>
      <c r="H2" s="12" t="s">
        <v>34</v>
      </c>
      <c r="I2" s="12" t="s">
        <v>35</v>
      </c>
      <c r="J2" s="13"/>
      <c r="K2" s="13"/>
      <c r="L2" s="13" t="s">
        <v>15</v>
      </c>
      <c r="M2" s="13"/>
    </row>
    <row r="3" customFormat="false" ht="31.5" hidden="false" customHeight="true" outlineLevel="0" collapsed="false">
      <c r="A3" s="12" t="s">
        <v>36</v>
      </c>
      <c r="B3" s="12" t="s">
        <v>8</v>
      </c>
      <c r="C3" s="12" t="s">
        <v>4</v>
      </c>
      <c r="D3" s="12" t="s">
        <v>31</v>
      </c>
      <c r="E3" s="12" t="s">
        <v>37</v>
      </c>
      <c r="F3" s="12" t="s">
        <v>38</v>
      </c>
      <c r="G3" s="12" t="s">
        <v>39</v>
      </c>
      <c r="H3" s="12" t="s">
        <v>40</v>
      </c>
      <c r="I3" s="12" t="s">
        <v>41</v>
      </c>
      <c r="J3" s="13"/>
      <c r="K3" s="13"/>
      <c r="L3" s="13" t="s">
        <v>15</v>
      </c>
      <c r="M3" s="13"/>
    </row>
    <row r="4" customFormat="false" ht="31.5" hidden="false" customHeight="true" outlineLevel="0" collapsed="false">
      <c r="A4" s="12" t="s">
        <v>42</v>
      </c>
      <c r="B4" s="12" t="s">
        <v>8</v>
      </c>
      <c r="C4" s="12" t="s">
        <v>4</v>
      </c>
      <c r="D4" s="12" t="s">
        <v>31</v>
      </c>
      <c r="E4" s="12" t="s">
        <v>43</v>
      </c>
      <c r="F4" s="12" t="s">
        <v>44</v>
      </c>
      <c r="G4" s="12" t="s">
        <v>45</v>
      </c>
      <c r="H4" s="12" t="s">
        <v>46</v>
      </c>
      <c r="I4" s="12" t="s">
        <v>47</v>
      </c>
      <c r="J4" s="13"/>
      <c r="K4" s="13"/>
      <c r="L4" s="13" t="s">
        <v>15</v>
      </c>
      <c r="M4" s="13"/>
    </row>
    <row r="5" customFormat="false" ht="60" hidden="false" customHeight="true" outlineLevel="0" collapsed="false">
      <c r="A5" s="12" t="s">
        <v>48</v>
      </c>
      <c r="B5" s="12" t="s">
        <v>8</v>
      </c>
      <c r="C5" s="12" t="s">
        <v>3</v>
      </c>
      <c r="D5" s="12"/>
      <c r="E5" s="12"/>
      <c r="F5" s="12" t="s">
        <v>49</v>
      </c>
      <c r="G5" s="12" t="s">
        <v>50</v>
      </c>
      <c r="H5" s="12" t="s">
        <v>51</v>
      </c>
      <c r="I5" s="12" t="s">
        <v>52</v>
      </c>
      <c r="J5" s="13"/>
      <c r="K5" s="13"/>
      <c r="L5" s="13" t="s">
        <v>15</v>
      </c>
      <c r="M5" s="13"/>
    </row>
    <row r="6" customFormat="false" ht="31.5" hidden="false" customHeight="true" outlineLevel="0" collapsed="false">
      <c r="A6" s="12" t="s">
        <v>53</v>
      </c>
      <c r="B6" s="12" t="s">
        <v>8</v>
      </c>
      <c r="C6" s="12" t="s">
        <v>4</v>
      </c>
      <c r="D6" s="12" t="s">
        <v>48</v>
      </c>
      <c r="E6" s="12" t="s">
        <v>54</v>
      </c>
      <c r="F6" s="12" t="s">
        <v>55</v>
      </c>
      <c r="G6" s="12" t="s">
        <v>56</v>
      </c>
      <c r="H6" s="12" t="s">
        <v>57</v>
      </c>
      <c r="I6" s="12" t="s">
        <v>52</v>
      </c>
      <c r="J6" s="13"/>
      <c r="K6" s="13"/>
      <c r="L6" s="13" t="s">
        <v>15</v>
      </c>
      <c r="M6" s="13"/>
    </row>
    <row r="7" customFormat="false" ht="31.5" hidden="false" customHeight="true" outlineLevel="0" collapsed="false">
      <c r="A7" s="12" t="s">
        <v>58</v>
      </c>
      <c r="B7" s="12" t="s">
        <v>8</v>
      </c>
      <c r="C7" s="12" t="s">
        <v>4</v>
      </c>
      <c r="D7" s="12" t="s">
        <v>48</v>
      </c>
      <c r="E7" s="12" t="s">
        <v>49</v>
      </c>
      <c r="F7" s="12" t="s">
        <v>59</v>
      </c>
      <c r="G7" s="12" t="s">
        <v>60</v>
      </c>
      <c r="H7" s="12" t="s">
        <v>61</v>
      </c>
      <c r="I7" s="12" t="s">
        <v>52</v>
      </c>
      <c r="J7" s="13"/>
      <c r="K7" s="13"/>
      <c r="L7" s="13" t="s">
        <v>15</v>
      </c>
      <c r="M7" s="13"/>
    </row>
    <row r="8" customFormat="false" ht="31.5" hidden="false" customHeight="true" outlineLevel="0" collapsed="false">
      <c r="A8" s="12" t="s">
        <v>62</v>
      </c>
      <c r="B8" s="12" t="s">
        <v>8</v>
      </c>
      <c r="C8" s="12" t="s">
        <v>6</v>
      </c>
      <c r="D8" s="12" t="s">
        <v>48</v>
      </c>
      <c r="E8" s="12" t="s">
        <v>49</v>
      </c>
      <c r="F8" s="12" t="s">
        <v>63</v>
      </c>
      <c r="G8" s="12" t="s">
        <v>64</v>
      </c>
      <c r="H8" s="12" t="s">
        <v>65</v>
      </c>
      <c r="I8" s="12" t="s">
        <v>52</v>
      </c>
      <c r="J8" s="13"/>
      <c r="K8" s="13"/>
      <c r="L8" s="13" t="s">
        <v>15</v>
      </c>
      <c r="M8" s="13"/>
    </row>
    <row r="9" customFormat="false" ht="87.75" hidden="false" customHeight="true" outlineLevel="0" collapsed="false">
      <c r="A9" s="12" t="s">
        <v>66</v>
      </c>
      <c r="B9" s="12" t="s">
        <v>8</v>
      </c>
      <c r="C9" s="12" t="s">
        <v>3</v>
      </c>
      <c r="D9" s="12"/>
      <c r="E9" s="12"/>
      <c r="F9" s="12" t="s">
        <v>67</v>
      </c>
      <c r="G9" s="12" t="s">
        <v>68</v>
      </c>
      <c r="H9" s="12" t="s">
        <v>69</v>
      </c>
      <c r="I9" s="12" t="s">
        <v>52</v>
      </c>
      <c r="J9" s="13"/>
      <c r="K9" s="13"/>
      <c r="L9" s="13" t="s">
        <v>15</v>
      </c>
      <c r="M9" s="13"/>
    </row>
    <row r="10" customFormat="false" ht="31.5" hidden="false" customHeight="true" outlineLevel="0" collapsed="false">
      <c r="A10" s="12" t="s">
        <v>70</v>
      </c>
      <c r="B10" s="12" t="s">
        <v>8</v>
      </c>
      <c r="C10" s="12" t="s">
        <v>4</v>
      </c>
      <c r="D10" s="12" t="s">
        <v>66</v>
      </c>
      <c r="E10" s="12" t="s">
        <v>71</v>
      </c>
      <c r="F10" s="12" t="s">
        <v>72</v>
      </c>
      <c r="G10" s="12" t="s">
        <v>73</v>
      </c>
      <c r="H10" s="12" t="s">
        <v>74</v>
      </c>
      <c r="I10" s="12" t="s">
        <v>52</v>
      </c>
      <c r="J10" s="13"/>
      <c r="K10" s="13"/>
      <c r="L10" s="13" t="s">
        <v>15</v>
      </c>
      <c r="M10" s="13"/>
    </row>
    <row r="11" customFormat="false" ht="31.5" hidden="false" customHeight="true" outlineLevel="0" collapsed="false">
      <c r="A11" s="12" t="s">
        <v>75</v>
      </c>
      <c r="B11" s="12" t="s">
        <v>8</v>
      </c>
      <c r="C11" s="12" t="s">
        <v>5</v>
      </c>
      <c r="D11" s="12" t="s">
        <v>66</v>
      </c>
      <c r="E11" s="12" t="s">
        <v>76</v>
      </c>
      <c r="F11" s="12" t="s">
        <v>77</v>
      </c>
      <c r="G11" s="12" t="s">
        <v>78</v>
      </c>
      <c r="H11" s="12" t="s">
        <v>79</v>
      </c>
      <c r="I11" s="12" t="s">
        <v>52</v>
      </c>
      <c r="J11" s="13"/>
      <c r="K11" s="13"/>
      <c r="L11" s="13" t="s">
        <v>15</v>
      </c>
      <c r="M11" s="13"/>
    </row>
    <row r="12" customFormat="false" ht="31.5" hidden="false" customHeight="true" outlineLevel="0" collapsed="false">
      <c r="A12" s="12" t="s">
        <v>80</v>
      </c>
      <c r="B12" s="12" t="s">
        <v>8</v>
      </c>
      <c r="C12" s="12" t="s">
        <v>6</v>
      </c>
      <c r="D12" s="12" t="s">
        <v>66</v>
      </c>
      <c r="E12" s="12" t="s">
        <v>76</v>
      </c>
      <c r="F12" s="12" t="s">
        <v>81</v>
      </c>
      <c r="G12" s="12" t="s">
        <v>82</v>
      </c>
      <c r="H12" s="12" t="s">
        <v>83</v>
      </c>
      <c r="I12" s="12" t="s">
        <v>52</v>
      </c>
      <c r="J12" s="13"/>
      <c r="K12" s="13"/>
      <c r="L12" s="13" t="s">
        <v>15</v>
      </c>
      <c r="M12" s="13"/>
    </row>
    <row r="13" customFormat="false" ht="45.75" hidden="false" customHeight="true" outlineLevel="0" collapsed="false">
      <c r="A13" s="12" t="s">
        <v>84</v>
      </c>
      <c r="B13" s="12" t="s">
        <v>8</v>
      </c>
      <c r="C13" s="12" t="s">
        <v>3</v>
      </c>
      <c r="D13" s="12"/>
      <c r="E13" s="12"/>
      <c r="F13" s="12" t="s">
        <v>85</v>
      </c>
      <c r="G13" s="12" t="s">
        <v>86</v>
      </c>
      <c r="H13" s="12" t="s">
        <v>87</v>
      </c>
      <c r="I13" s="12" t="s">
        <v>88</v>
      </c>
      <c r="J13" s="13"/>
      <c r="K13" s="13"/>
      <c r="L13" s="13" t="s">
        <v>15</v>
      </c>
      <c r="M13" s="13"/>
    </row>
    <row r="14" customFormat="false" ht="60" hidden="false" customHeight="true" outlineLevel="0" collapsed="false">
      <c r="A14" s="12" t="s">
        <v>89</v>
      </c>
      <c r="B14" s="12" t="s">
        <v>8</v>
      </c>
      <c r="C14" s="12" t="s">
        <v>3</v>
      </c>
      <c r="D14" s="12"/>
      <c r="E14" s="12"/>
      <c r="F14" s="12" t="s">
        <v>90</v>
      </c>
      <c r="G14" s="12" t="s">
        <v>91</v>
      </c>
      <c r="H14" s="12" t="s">
        <v>92</v>
      </c>
      <c r="I14" s="12" t="s">
        <v>88</v>
      </c>
      <c r="J14" s="13"/>
      <c r="K14" s="13"/>
      <c r="L14" s="13" t="s">
        <v>15</v>
      </c>
      <c r="M14" s="13"/>
    </row>
    <row r="15" customFormat="false" ht="31.5" hidden="false" customHeight="true" outlineLevel="0" collapsed="false">
      <c r="A15" s="12" t="s">
        <v>93</v>
      </c>
      <c r="B15" s="12" t="s">
        <v>8</v>
      </c>
      <c r="C15" s="12" t="s">
        <v>6</v>
      </c>
      <c r="D15" s="12" t="s">
        <v>89</v>
      </c>
      <c r="E15" s="12" t="s">
        <v>94</v>
      </c>
      <c r="F15" s="12" t="s">
        <v>95</v>
      </c>
      <c r="G15" s="12" t="s">
        <v>96</v>
      </c>
      <c r="H15" s="12" t="s">
        <v>97</v>
      </c>
      <c r="I15" s="12" t="s">
        <v>88</v>
      </c>
      <c r="J15" s="13"/>
      <c r="K15" s="13"/>
      <c r="L15" s="13" t="s">
        <v>15</v>
      </c>
      <c r="M15" s="13"/>
    </row>
    <row r="16" customFormat="false" ht="45.75" hidden="false" customHeight="true" outlineLevel="0" collapsed="false">
      <c r="A16" s="12" t="s">
        <v>98</v>
      </c>
      <c r="B16" s="12" t="s">
        <v>8</v>
      </c>
      <c r="C16" s="12" t="s">
        <v>3</v>
      </c>
      <c r="D16" s="12"/>
      <c r="E16" s="12"/>
      <c r="F16" s="12" t="s">
        <v>99</v>
      </c>
      <c r="G16" s="12" t="s">
        <v>100</v>
      </c>
      <c r="H16" s="12" t="s">
        <v>101</v>
      </c>
      <c r="I16" s="12" t="s">
        <v>102</v>
      </c>
      <c r="J16" s="13"/>
      <c r="K16" s="13"/>
      <c r="L16" s="13" t="s">
        <v>15</v>
      </c>
      <c r="M16" s="13"/>
    </row>
    <row r="17" customFormat="false" ht="31.5" hidden="false" customHeight="true" outlineLevel="0" collapsed="false">
      <c r="A17" s="12" t="s">
        <v>103</v>
      </c>
      <c r="B17" s="12" t="s">
        <v>8</v>
      </c>
      <c r="C17" s="12" t="s">
        <v>4</v>
      </c>
      <c r="D17" s="12" t="s">
        <v>98</v>
      </c>
      <c r="E17" s="12" t="s">
        <v>104</v>
      </c>
      <c r="F17" s="12" t="s">
        <v>105</v>
      </c>
      <c r="G17" s="12" t="s">
        <v>106</v>
      </c>
      <c r="H17" s="12" t="s">
        <v>107</v>
      </c>
      <c r="I17" s="12" t="s">
        <v>102</v>
      </c>
      <c r="J17" s="13"/>
      <c r="K17" s="13"/>
      <c r="L17" s="13" t="s">
        <v>15</v>
      </c>
      <c r="M17" s="13"/>
    </row>
    <row r="18" customFormat="false" ht="102" hidden="false" customHeight="true" outlineLevel="0" collapsed="false">
      <c r="A18" s="12" t="s">
        <v>108</v>
      </c>
      <c r="B18" s="12" t="s">
        <v>9</v>
      </c>
      <c r="C18" s="12" t="s">
        <v>3</v>
      </c>
      <c r="D18" s="12"/>
      <c r="E18" s="12"/>
      <c r="F18" s="12" t="s">
        <v>109</v>
      </c>
      <c r="G18" s="12" t="s">
        <v>110</v>
      </c>
      <c r="H18" s="12" t="s">
        <v>111</v>
      </c>
      <c r="I18" s="12" t="s">
        <v>112</v>
      </c>
      <c r="J18" s="13"/>
      <c r="K18" s="13"/>
      <c r="L18" s="13" t="s">
        <v>15</v>
      </c>
      <c r="M18" s="13"/>
    </row>
    <row r="19" customFormat="false" ht="31.5" hidden="false" customHeight="true" outlineLevel="0" collapsed="false">
      <c r="A19" s="12" t="s">
        <v>113</v>
      </c>
      <c r="B19" s="12" t="s">
        <v>9</v>
      </c>
      <c r="C19" s="12" t="s">
        <v>4</v>
      </c>
      <c r="D19" s="12" t="s">
        <v>108</v>
      </c>
      <c r="E19" s="12" t="s">
        <v>114</v>
      </c>
      <c r="F19" s="12" t="s">
        <v>115</v>
      </c>
      <c r="G19" s="12" t="s">
        <v>116</v>
      </c>
      <c r="H19" s="12" t="s">
        <v>117</v>
      </c>
      <c r="I19" s="12" t="s">
        <v>118</v>
      </c>
      <c r="J19" s="13"/>
      <c r="K19" s="13"/>
      <c r="L19" s="13" t="s">
        <v>15</v>
      </c>
      <c r="M19" s="13"/>
    </row>
    <row r="20" customFormat="false" ht="31.5" hidden="false" customHeight="true" outlineLevel="0" collapsed="false">
      <c r="A20" s="12" t="s">
        <v>119</v>
      </c>
      <c r="B20" s="12" t="s">
        <v>9</v>
      </c>
      <c r="C20" s="12" t="s">
        <v>6</v>
      </c>
      <c r="D20" s="12" t="s">
        <v>108</v>
      </c>
      <c r="E20" s="12" t="s">
        <v>120</v>
      </c>
      <c r="F20" s="12" t="s">
        <v>121</v>
      </c>
      <c r="G20" s="12" t="s">
        <v>122</v>
      </c>
      <c r="H20" s="12" t="s">
        <v>123</v>
      </c>
      <c r="I20" s="12" t="s">
        <v>124</v>
      </c>
      <c r="J20" s="13"/>
      <c r="K20" s="13"/>
      <c r="L20" s="13" t="s">
        <v>15</v>
      </c>
      <c r="M20" s="13"/>
    </row>
    <row r="21" customFormat="false" ht="60" hidden="false" customHeight="true" outlineLevel="0" collapsed="false">
      <c r="A21" s="12" t="s">
        <v>125</v>
      </c>
      <c r="B21" s="12" t="s">
        <v>9</v>
      </c>
      <c r="C21" s="12" t="s">
        <v>3</v>
      </c>
      <c r="D21" s="12"/>
      <c r="E21" s="12"/>
      <c r="F21" s="12" t="s">
        <v>126</v>
      </c>
      <c r="G21" s="12" t="s">
        <v>127</v>
      </c>
      <c r="H21" s="12" t="s">
        <v>128</v>
      </c>
      <c r="I21" s="12" t="s">
        <v>102</v>
      </c>
      <c r="J21" s="13"/>
      <c r="K21" s="13"/>
      <c r="L21" s="13" t="s">
        <v>15</v>
      </c>
      <c r="M21" s="13"/>
    </row>
    <row r="22" customFormat="false" ht="31.5" hidden="false" customHeight="true" outlineLevel="0" collapsed="false">
      <c r="A22" s="12" t="s">
        <v>129</v>
      </c>
      <c r="B22" s="12" t="s">
        <v>9</v>
      </c>
      <c r="C22" s="12" t="s">
        <v>4</v>
      </c>
      <c r="D22" s="12" t="s">
        <v>125</v>
      </c>
      <c r="E22" s="12" t="s">
        <v>104</v>
      </c>
      <c r="F22" s="12" t="s">
        <v>130</v>
      </c>
      <c r="G22" s="12" t="s">
        <v>131</v>
      </c>
      <c r="H22" s="12" t="s">
        <v>107</v>
      </c>
      <c r="I22" s="12" t="s">
        <v>102</v>
      </c>
      <c r="J22" s="13"/>
      <c r="K22" s="13"/>
      <c r="L22" s="13" t="s">
        <v>15</v>
      </c>
      <c r="M22" s="13"/>
    </row>
    <row r="23" customFormat="false" ht="73.5" hidden="false" customHeight="true" outlineLevel="0" collapsed="false">
      <c r="A23" s="12" t="s">
        <v>132</v>
      </c>
      <c r="B23" s="12" t="s">
        <v>9</v>
      </c>
      <c r="C23" s="12" t="s">
        <v>3</v>
      </c>
      <c r="D23" s="12"/>
      <c r="E23" s="12"/>
      <c r="F23" s="12" t="s">
        <v>133</v>
      </c>
      <c r="G23" s="12" t="s">
        <v>134</v>
      </c>
      <c r="H23" s="12" t="s">
        <v>135</v>
      </c>
      <c r="I23" s="12" t="s">
        <v>102</v>
      </c>
      <c r="J23" s="13"/>
      <c r="K23" s="13"/>
      <c r="L23" s="13" t="s">
        <v>15</v>
      </c>
      <c r="M23" s="13"/>
    </row>
    <row r="24" customFormat="false" ht="31.5" hidden="false" customHeight="true" outlineLevel="0" collapsed="false">
      <c r="A24" s="12" t="s">
        <v>136</v>
      </c>
      <c r="B24" s="12" t="s">
        <v>9</v>
      </c>
      <c r="C24" s="12" t="s">
        <v>4</v>
      </c>
      <c r="D24" s="12" t="s">
        <v>132</v>
      </c>
      <c r="E24" s="12" t="s">
        <v>137</v>
      </c>
      <c r="F24" s="12" t="s">
        <v>138</v>
      </c>
      <c r="G24" s="12" t="s">
        <v>139</v>
      </c>
      <c r="H24" s="12" t="s">
        <v>140</v>
      </c>
      <c r="I24" s="12" t="s">
        <v>102</v>
      </c>
      <c r="J24" s="13"/>
      <c r="K24" s="13"/>
      <c r="L24" s="13" t="s">
        <v>15</v>
      </c>
      <c r="M24" s="13"/>
    </row>
    <row r="25" customFormat="false" ht="45.75" hidden="false" customHeight="true" outlineLevel="0" collapsed="false">
      <c r="A25" s="12" t="s">
        <v>141</v>
      </c>
      <c r="B25" s="12" t="s">
        <v>9</v>
      </c>
      <c r="C25" s="12" t="s">
        <v>3</v>
      </c>
      <c r="D25" s="12"/>
      <c r="E25" s="12"/>
      <c r="F25" s="12" t="s">
        <v>142</v>
      </c>
      <c r="G25" s="12" t="s">
        <v>143</v>
      </c>
      <c r="H25" s="12" t="s">
        <v>144</v>
      </c>
      <c r="I25" s="12" t="s">
        <v>88</v>
      </c>
      <c r="J25" s="13"/>
      <c r="K25" s="13"/>
      <c r="L25" s="13" t="s">
        <v>15</v>
      </c>
      <c r="M25" s="13"/>
    </row>
    <row r="26" customFormat="false" ht="31.5" hidden="false" customHeight="true" outlineLevel="0" collapsed="false">
      <c r="A26" s="12" t="s">
        <v>145</v>
      </c>
      <c r="B26" s="12" t="s">
        <v>9</v>
      </c>
      <c r="C26" s="12" t="s">
        <v>6</v>
      </c>
      <c r="D26" s="12" t="s">
        <v>141</v>
      </c>
      <c r="E26" s="12" t="s">
        <v>94</v>
      </c>
      <c r="F26" s="12" t="s">
        <v>146</v>
      </c>
      <c r="G26" s="12" t="s">
        <v>96</v>
      </c>
      <c r="H26" s="12" t="s">
        <v>97</v>
      </c>
      <c r="I26" s="12" t="s">
        <v>88</v>
      </c>
      <c r="J26" s="13"/>
      <c r="K26" s="13"/>
      <c r="L26" s="13" t="s">
        <v>15</v>
      </c>
      <c r="M26" s="13"/>
    </row>
    <row r="27" customFormat="false" ht="129.75" hidden="false" customHeight="true" outlineLevel="0" collapsed="false">
      <c r="A27" s="12" t="s">
        <v>147</v>
      </c>
      <c r="B27" s="12" t="s">
        <v>10</v>
      </c>
      <c r="C27" s="12" t="s">
        <v>3</v>
      </c>
      <c r="D27" s="12"/>
      <c r="E27" s="12"/>
      <c r="F27" s="12" t="s">
        <v>148</v>
      </c>
      <c r="G27" s="12" t="s">
        <v>149</v>
      </c>
      <c r="H27" s="12" t="s">
        <v>150</v>
      </c>
      <c r="I27" s="12" t="s">
        <v>151</v>
      </c>
      <c r="J27" s="13"/>
      <c r="K27" s="13"/>
      <c r="L27" s="13" t="s">
        <v>15</v>
      </c>
      <c r="M27" s="13"/>
    </row>
    <row r="28" customFormat="false" ht="31.5" hidden="false" customHeight="true" outlineLevel="0" collapsed="false">
      <c r="A28" s="12" t="s">
        <v>152</v>
      </c>
      <c r="B28" s="12" t="s">
        <v>10</v>
      </c>
      <c r="C28" s="12" t="s">
        <v>4</v>
      </c>
      <c r="D28" s="12" t="s">
        <v>147</v>
      </c>
      <c r="E28" s="12" t="s">
        <v>153</v>
      </c>
      <c r="F28" s="12" t="s">
        <v>154</v>
      </c>
      <c r="G28" s="12" t="s">
        <v>155</v>
      </c>
      <c r="H28" s="12" t="s">
        <v>156</v>
      </c>
      <c r="I28" s="12" t="s">
        <v>157</v>
      </c>
      <c r="J28" s="13"/>
      <c r="K28" s="13"/>
      <c r="L28" s="13" t="s">
        <v>15</v>
      </c>
      <c r="M28" s="13"/>
    </row>
    <row r="29" customFormat="false" ht="31.5" hidden="false" customHeight="true" outlineLevel="0" collapsed="false">
      <c r="A29" s="12" t="s">
        <v>158</v>
      </c>
      <c r="B29" s="12" t="s">
        <v>10</v>
      </c>
      <c r="C29" s="12" t="s">
        <v>4</v>
      </c>
      <c r="D29" s="12" t="s">
        <v>147</v>
      </c>
      <c r="E29" s="12" t="s">
        <v>153</v>
      </c>
      <c r="F29" s="12" t="s">
        <v>159</v>
      </c>
      <c r="G29" s="12" t="s">
        <v>160</v>
      </c>
      <c r="H29" s="12" t="s">
        <v>161</v>
      </c>
      <c r="I29" s="12" t="s">
        <v>157</v>
      </c>
      <c r="J29" s="13"/>
      <c r="K29" s="13"/>
      <c r="L29" s="13" t="s">
        <v>15</v>
      </c>
      <c r="M29" s="13"/>
    </row>
    <row r="30" customFormat="false" ht="45.75" hidden="false" customHeight="true" outlineLevel="0" collapsed="false">
      <c r="A30" s="12" t="s">
        <v>162</v>
      </c>
      <c r="B30" s="12" t="s">
        <v>10</v>
      </c>
      <c r="C30" s="12" t="s">
        <v>6</v>
      </c>
      <c r="D30" s="12" t="s">
        <v>147</v>
      </c>
      <c r="E30" s="12" t="s">
        <v>163</v>
      </c>
      <c r="F30" s="12" t="s">
        <v>164</v>
      </c>
      <c r="G30" s="12" t="s">
        <v>165</v>
      </c>
      <c r="H30" s="12" t="s">
        <v>166</v>
      </c>
      <c r="I30" s="12" t="s">
        <v>167</v>
      </c>
      <c r="J30" s="13"/>
      <c r="K30" s="13"/>
      <c r="L30" s="13" t="s">
        <v>15</v>
      </c>
      <c r="M30" s="13"/>
    </row>
    <row r="31" customFormat="false" ht="31.5" hidden="false" customHeight="true" outlineLevel="0" collapsed="false">
      <c r="A31" s="12" t="s">
        <v>168</v>
      </c>
      <c r="B31" s="12" t="s">
        <v>10</v>
      </c>
      <c r="C31" s="12" t="s">
        <v>4</v>
      </c>
      <c r="D31" s="12" t="s">
        <v>147</v>
      </c>
      <c r="E31" s="12" t="s">
        <v>169</v>
      </c>
      <c r="F31" s="12" t="s">
        <v>170</v>
      </c>
      <c r="G31" s="12" t="s">
        <v>171</v>
      </c>
      <c r="H31" s="12" t="s">
        <v>172</v>
      </c>
      <c r="I31" s="12" t="s">
        <v>173</v>
      </c>
      <c r="J31" s="13"/>
      <c r="K31" s="13"/>
      <c r="L31" s="13" t="s">
        <v>15</v>
      </c>
      <c r="M31" s="13"/>
    </row>
    <row r="32" customFormat="false" ht="73.5" hidden="false" customHeight="true" outlineLevel="0" collapsed="false">
      <c r="A32" s="12" t="s">
        <v>174</v>
      </c>
      <c r="B32" s="12" t="s">
        <v>10</v>
      </c>
      <c r="C32" s="12" t="s">
        <v>5</v>
      </c>
      <c r="D32" s="12" t="s">
        <v>147</v>
      </c>
      <c r="E32" s="12" t="s">
        <v>169</v>
      </c>
      <c r="F32" s="12" t="s">
        <v>175</v>
      </c>
      <c r="G32" s="12" t="s">
        <v>176</v>
      </c>
      <c r="H32" s="12" t="s">
        <v>177</v>
      </c>
      <c r="I32" s="12" t="s">
        <v>173</v>
      </c>
      <c r="J32" s="13"/>
      <c r="K32" s="13"/>
      <c r="L32" s="13" t="s">
        <v>15</v>
      </c>
      <c r="M32" s="13"/>
    </row>
    <row r="33" customFormat="false" ht="45.75" hidden="false" customHeight="true" outlineLevel="0" collapsed="false">
      <c r="A33" s="12" t="s">
        <v>178</v>
      </c>
      <c r="B33" s="12" t="s">
        <v>10</v>
      </c>
      <c r="C33" s="12" t="s">
        <v>4</v>
      </c>
      <c r="D33" s="12" t="s">
        <v>174</v>
      </c>
      <c r="E33" s="12" t="s">
        <v>179</v>
      </c>
      <c r="F33" s="12" t="s">
        <v>180</v>
      </c>
      <c r="G33" s="12" t="s">
        <v>181</v>
      </c>
      <c r="H33" s="12" t="s">
        <v>182</v>
      </c>
      <c r="I33" s="12" t="s">
        <v>173</v>
      </c>
      <c r="J33" s="13"/>
      <c r="K33" s="13"/>
      <c r="L33" s="13" t="s">
        <v>15</v>
      </c>
      <c r="M33" s="13"/>
    </row>
    <row r="34" customFormat="false" ht="31.5" hidden="false" customHeight="true" outlineLevel="0" collapsed="false">
      <c r="A34" s="12" t="s">
        <v>183</v>
      </c>
      <c r="B34" s="12" t="s">
        <v>10</v>
      </c>
      <c r="C34" s="12" t="s">
        <v>6</v>
      </c>
      <c r="D34" s="12" t="s">
        <v>178</v>
      </c>
      <c r="E34" s="12" t="s">
        <v>184</v>
      </c>
      <c r="F34" s="12" t="s">
        <v>185</v>
      </c>
      <c r="G34" s="12" t="s">
        <v>186</v>
      </c>
      <c r="H34" s="12" t="s">
        <v>187</v>
      </c>
      <c r="I34" s="12" t="s">
        <v>173</v>
      </c>
      <c r="J34" s="13"/>
      <c r="K34" s="13"/>
      <c r="L34" s="13" t="s">
        <v>15</v>
      </c>
      <c r="M34" s="13"/>
    </row>
    <row r="35" customFormat="false" ht="73.5" hidden="false" customHeight="true" outlineLevel="0" collapsed="false">
      <c r="A35" s="12" t="s">
        <v>188</v>
      </c>
      <c r="B35" s="12" t="s">
        <v>10</v>
      </c>
      <c r="C35" s="12" t="s">
        <v>3</v>
      </c>
      <c r="D35" s="12"/>
      <c r="E35" s="12"/>
      <c r="F35" s="12" t="s">
        <v>189</v>
      </c>
      <c r="G35" s="12" t="s">
        <v>190</v>
      </c>
      <c r="H35" s="12" t="s">
        <v>191</v>
      </c>
      <c r="I35" s="12" t="s">
        <v>157</v>
      </c>
      <c r="J35" s="13"/>
      <c r="K35" s="13"/>
      <c r="L35" s="13" t="s">
        <v>15</v>
      </c>
      <c r="M35" s="13"/>
    </row>
    <row r="36" customFormat="false" ht="45.75" hidden="false" customHeight="true" outlineLevel="0" collapsed="false">
      <c r="A36" s="12" t="s">
        <v>192</v>
      </c>
      <c r="B36" s="12" t="s">
        <v>10</v>
      </c>
      <c r="C36" s="12" t="s">
        <v>5</v>
      </c>
      <c r="D36" s="12" t="s">
        <v>188</v>
      </c>
      <c r="E36" s="12" t="s">
        <v>163</v>
      </c>
      <c r="F36" s="12" t="s">
        <v>193</v>
      </c>
      <c r="G36" s="12" t="s">
        <v>194</v>
      </c>
      <c r="H36" s="12" t="s">
        <v>195</v>
      </c>
      <c r="I36" s="12" t="s">
        <v>157</v>
      </c>
      <c r="J36" s="13"/>
      <c r="K36" s="13"/>
      <c r="L36" s="13" t="s">
        <v>15</v>
      </c>
      <c r="M36" s="13"/>
    </row>
    <row r="37" customFormat="false" ht="31.5" hidden="false" customHeight="true" outlineLevel="0" collapsed="false">
      <c r="A37" s="12" t="s">
        <v>196</v>
      </c>
      <c r="B37" s="12" t="s">
        <v>10</v>
      </c>
      <c r="C37" s="12" t="s">
        <v>6</v>
      </c>
      <c r="D37" s="12" t="s">
        <v>188</v>
      </c>
      <c r="E37" s="12" t="s">
        <v>197</v>
      </c>
      <c r="F37" s="12" t="s">
        <v>198</v>
      </c>
      <c r="G37" s="12" t="s">
        <v>199</v>
      </c>
      <c r="H37" s="12" t="s">
        <v>200</v>
      </c>
      <c r="I37" s="12" t="s">
        <v>151</v>
      </c>
      <c r="J37" s="13"/>
      <c r="K37" s="13"/>
      <c r="L37" s="13" t="s">
        <v>15</v>
      </c>
      <c r="M37" s="13"/>
    </row>
    <row r="38" customFormat="false" ht="199.5" hidden="false" customHeight="true" outlineLevel="0" collapsed="false">
      <c r="A38" s="12" t="s">
        <v>201</v>
      </c>
      <c r="B38" s="12" t="s">
        <v>10</v>
      </c>
      <c r="C38" s="12" t="s">
        <v>3</v>
      </c>
      <c r="D38" s="12"/>
      <c r="E38" s="12"/>
      <c r="F38" s="12" t="s">
        <v>202</v>
      </c>
      <c r="G38" s="12" t="s">
        <v>203</v>
      </c>
      <c r="H38" s="12" t="s">
        <v>204</v>
      </c>
      <c r="I38" s="12" t="s">
        <v>205</v>
      </c>
      <c r="J38" s="13"/>
      <c r="K38" s="13"/>
      <c r="L38" s="13" t="s">
        <v>15</v>
      </c>
      <c r="M38" s="13"/>
    </row>
    <row r="39" customFormat="false" ht="31.5" hidden="false" customHeight="true" outlineLevel="0" collapsed="false">
      <c r="A39" s="12" t="s">
        <v>206</v>
      </c>
      <c r="B39" s="12" t="s">
        <v>10</v>
      </c>
      <c r="C39" s="12" t="s">
        <v>4</v>
      </c>
      <c r="D39" s="12" t="s">
        <v>201</v>
      </c>
      <c r="E39" s="12" t="s">
        <v>207</v>
      </c>
      <c r="F39" s="12" t="s">
        <v>208</v>
      </c>
      <c r="G39" s="12" t="s">
        <v>209</v>
      </c>
      <c r="H39" s="12" t="s">
        <v>210</v>
      </c>
      <c r="I39" s="12" t="s">
        <v>211</v>
      </c>
      <c r="J39" s="13"/>
      <c r="K39" s="13"/>
      <c r="L39" s="13" t="s">
        <v>15</v>
      </c>
      <c r="M39" s="13"/>
    </row>
    <row r="40" customFormat="false" ht="31.5" hidden="false" customHeight="true" outlineLevel="0" collapsed="false">
      <c r="A40" s="12" t="s">
        <v>212</v>
      </c>
      <c r="B40" s="12" t="s">
        <v>10</v>
      </c>
      <c r="C40" s="12" t="s">
        <v>4</v>
      </c>
      <c r="D40" s="12" t="s">
        <v>201</v>
      </c>
      <c r="E40" s="12" t="s">
        <v>213</v>
      </c>
      <c r="F40" s="12" t="s">
        <v>214</v>
      </c>
      <c r="G40" s="12" t="s">
        <v>215</v>
      </c>
      <c r="H40" s="12" t="s">
        <v>216</v>
      </c>
      <c r="I40" s="12" t="s">
        <v>211</v>
      </c>
      <c r="J40" s="13"/>
      <c r="K40" s="13"/>
      <c r="L40" s="13" t="s">
        <v>15</v>
      </c>
      <c r="M40" s="13"/>
    </row>
    <row r="41" customFormat="false" ht="31.5" hidden="false" customHeight="true" outlineLevel="0" collapsed="false">
      <c r="A41" s="12" t="s">
        <v>217</v>
      </c>
      <c r="B41" s="12" t="s">
        <v>10</v>
      </c>
      <c r="C41" s="12" t="s">
        <v>6</v>
      </c>
      <c r="D41" s="12" t="s">
        <v>201</v>
      </c>
      <c r="E41" s="12" t="s">
        <v>218</v>
      </c>
      <c r="F41" s="12" t="s">
        <v>219</v>
      </c>
      <c r="G41" s="12" t="s">
        <v>220</v>
      </c>
      <c r="H41" s="12" t="s">
        <v>221</v>
      </c>
      <c r="I41" s="12" t="s">
        <v>211</v>
      </c>
      <c r="J41" s="13"/>
      <c r="K41" s="13"/>
      <c r="L41" s="13" t="s">
        <v>15</v>
      </c>
      <c r="M41" s="13"/>
    </row>
    <row r="42" customFormat="false" ht="31.5" hidden="false" customHeight="true" outlineLevel="0" collapsed="false">
      <c r="A42" s="12" t="s">
        <v>222</v>
      </c>
      <c r="B42" s="12" t="s">
        <v>10</v>
      </c>
      <c r="C42" s="12" t="s">
        <v>6</v>
      </c>
      <c r="D42" s="12" t="s">
        <v>201</v>
      </c>
      <c r="E42" s="12" t="s">
        <v>223</v>
      </c>
      <c r="F42" s="12" t="s">
        <v>224</v>
      </c>
      <c r="G42" s="12" t="s">
        <v>225</v>
      </c>
      <c r="H42" s="12" t="s">
        <v>226</v>
      </c>
      <c r="I42" s="12" t="s">
        <v>211</v>
      </c>
      <c r="J42" s="13"/>
      <c r="K42" s="13"/>
      <c r="L42" s="13" t="s">
        <v>15</v>
      </c>
      <c r="M42" s="13"/>
    </row>
    <row r="43" customFormat="false" ht="60" hidden="false" customHeight="true" outlineLevel="0" collapsed="false">
      <c r="A43" s="12" t="s">
        <v>227</v>
      </c>
      <c r="B43" s="12" t="s">
        <v>10</v>
      </c>
      <c r="C43" s="12" t="s">
        <v>5</v>
      </c>
      <c r="D43" s="12" t="s">
        <v>201</v>
      </c>
      <c r="E43" s="12" t="s">
        <v>228</v>
      </c>
      <c r="F43" s="12" t="s">
        <v>229</v>
      </c>
      <c r="G43" s="12" t="s">
        <v>230</v>
      </c>
      <c r="H43" s="12" t="s">
        <v>231</v>
      </c>
      <c r="I43" s="12" t="s">
        <v>102</v>
      </c>
      <c r="J43" s="13"/>
      <c r="K43" s="13"/>
      <c r="L43" s="13" t="s">
        <v>15</v>
      </c>
      <c r="M43" s="13"/>
    </row>
    <row r="44" customFormat="false" ht="31.5" hidden="false" customHeight="true" outlineLevel="0" collapsed="false">
      <c r="A44" s="12" t="s">
        <v>232</v>
      </c>
      <c r="B44" s="12" t="s">
        <v>10</v>
      </c>
      <c r="C44" s="12" t="s">
        <v>4</v>
      </c>
      <c r="D44" s="12" t="s">
        <v>201</v>
      </c>
      <c r="E44" s="12" t="s">
        <v>228</v>
      </c>
      <c r="F44" s="12" t="s">
        <v>233</v>
      </c>
      <c r="G44" s="12" t="s">
        <v>234</v>
      </c>
      <c r="H44" s="12" t="s">
        <v>235</v>
      </c>
      <c r="I44" s="12" t="s">
        <v>102</v>
      </c>
      <c r="J44" s="13"/>
      <c r="K44" s="13"/>
      <c r="L44" s="13" t="s">
        <v>15</v>
      </c>
      <c r="M44" s="13"/>
    </row>
    <row r="45" customFormat="false" ht="45.75" hidden="false" customHeight="true" outlineLevel="0" collapsed="false">
      <c r="A45" s="12" t="s">
        <v>236</v>
      </c>
      <c r="B45" s="12" t="s">
        <v>10</v>
      </c>
      <c r="C45" s="12" t="s">
        <v>5</v>
      </c>
      <c r="D45" s="12" t="s">
        <v>201</v>
      </c>
      <c r="E45" s="12" t="s">
        <v>237</v>
      </c>
      <c r="F45" s="12" t="s">
        <v>238</v>
      </c>
      <c r="G45" s="12" t="s">
        <v>239</v>
      </c>
      <c r="H45" s="12" t="s">
        <v>240</v>
      </c>
      <c r="I45" s="12" t="s">
        <v>102</v>
      </c>
      <c r="J45" s="13"/>
      <c r="K45" s="13"/>
      <c r="L45" s="13" t="s">
        <v>15</v>
      </c>
      <c r="M45" s="13"/>
    </row>
    <row r="46" customFormat="false" ht="31.5" hidden="false" customHeight="true" outlineLevel="0" collapsed="false">
      <c r="A46" s="12" t="s">
        <v>241</v>
      </c>
      <c r="B46" s="12" t="s">
        <v>10</v>
      </c>
      <c r="C46" s="12" t="s">
        <v>4</v>
      </c>
      <c r="D46" s="12" t="s">
        <v>236</v>
      </c>
      <c r="E46" s="12" t="s">
        <v>137</v>
      </c>
      <c r="F46" s="12" t="s">
        <v>242</v>
      </c>
      <c r="G46" s="12" t="s">
        <v>243</v>
      </c>
      <c r="H46" s="12" t="s">
        <v>140</v>
      </c>
      <c r="I46" s="12" t="s">
        <v>102</v>
      </c>
      <c r="J46" s="13"/>
      <c r="K46" s="13"/>
      <c r="L46" s="13" t="s">
        <v>15</v>
      </c>
      <c r="M46" s="13"/>
    </row>
  </sheetData>
  <autoFilter ref="A1:M46"/>
  <dataValidations count="1">
    <dataValidation allowBlank="false" errorStyle="stop" operator="between" showDropDown="false" showErrorMessage="false" showInputMessage="false" sqref="L2:L46" type="list">
      <formula1>"Chưa test,Pass,Fail,Blocked"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244</v>
      </c>
    </row>
    <row r="3" customFormat="false" ht="15" hidden="false" customHeight="false" outlineLevel="0" collapsed="false">
      <c r="A3" s="14" t="s">
        <v>245</v>
      </c>
      <c r="B3" s="15" t="s">
        <v>246</v>
      </c>
    </row>
    <row r="4" customFormat="false" ht="15" hidden="false" customHeight="false" outlineLevel="0" collapsed="false">
      <c r="A4" s="14" t="s">
        <v>20</v>
      </c>
      <c r="B4" s="15" t="s">
        <v>247</v>
      </c>
    </row>
    <row r="5" customFormat="false" ht="23.85" hidden="false" customHeight="false" outlineLevel="0" collapsed="false">
      <c r="A5" s="14" t="s">
        <v>25</v>
      </c>
      <c r="B5" s="15" t="s">
        <v>248</v>
      </c>
    </row>
    <row r="6" customFormat="false" ht="15" hidden="false" customHeight="false" outlineLevel="0" collapsed="false">
      <c r="A6" s="14" t="s">
        <v>26</v>
      </c>
      <c r="B6" s="15" t="s">
        <v>249</v>
      </c>
    </row>
    <row r="7" customFormat="false" ht="15" hidden="false" customHeight="false" outlineLevel="0" collapsed="false">
      <c r="A7" s="14" t="s">
        <v>28</v>
      </c>
      <c r="B7" s="15" t="s">
        <v>250</v>
      </c>
    </row>
    <row r="9" customFormat="false" ht="15" hidden="false" customHeight="false" outlineLevel="0" collapsed="false">
      <c r="A9" s="16" t="s">
        <v>251</v>
      </c>
    </row>
    <row r="10" customFormat="false" ht="15" hidden="false" customHeight="false" outlineLevel="0" collapsed="false">
      <c r="A10" s="17" t="s">
        <v>20</v>
      </c>
      <c r="B10" s="17" t="s">
        <v>28</v>
      </c>
      <c r="C10" s="17" t="s">
        <v>29</v>
      </c>
      <c r="D10" s="17" t="s">
        <v>12</v>
      </c>
    </row>
    <row r="11" customFormat="false" ht="31.5" hidden="false" customHeight="true" outlineLevel="0" collapsed="false">
      <c r="A11" s="18" t="s">
        <v>147</v>
      </c>
      <c r="B11" s="18" t="s">
        <v>252</v>
      </c>
      <c r="C11" s="18" t="s">
        <v>253</v>
      </c>
      <c r="D11" s="18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2026-10-25T03:53:44Z</dcterms:created>
  <dc:creator>openpyxl</dc:creator>
  <dc:description/>
  <dc:language>en-US</dc:language>
  <cp:lastModifiedBy/>
  <dcterms:modified xsi:type="dcterms:W3CDTF">2026-10-25T03:53:44Z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